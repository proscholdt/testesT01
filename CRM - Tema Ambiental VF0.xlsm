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enrique\THEMA\"/>
    </mc:Choice>
  </mc:AlternateContent>
  <xr:revisionPtr revIDLastSave="0" documentId="13_ncr:1_{B055763B-6F90-4E30-8D25-7724405BE4B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RM" sheetId="1" r:id="rId1"/>
    <sheet name="Chave de ID" sheetId="2" state="hidden" r:id="rId2"/>
  </sheets>
  <definedNames>
    <definedName name="_xleta.ROW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<sst xmlns="http://schemas.openxmlformats.org/spreadsheetml/2006/main" count="670" uniqueCount="205">
  <si>
    <t>ID_Oportunidade</t>
  </si>
  <si>
    <t>Data de Entrada</t>
  </si>
  <si>
    <t>Cliente</t>
  </si>
  <si>
    <t>Status do Cliente</t>
  </si>
  <si>
    <t>Segmento</t>
  </si>
  <si>
    <t>Decisão</t>
  </si>
  <si>
    <t>Justificativa</t>
  </si>
  <si>
    <t>Canal</t>
  </si>
  <si>
    <t>Responsável_1</t>
  </si>
  <si>
    <t>Código Proposta</t>
  </si>
  <si>
    <t>Objeto</t>
  </si>
  <si>
    <t>Categoria</t>
  </si>
  <si>
    <t>Área do Negócio</t>
  </si>
  <si>
    <t>Estado</t>
  </si>
  <si>
    <t>Valor</t>
  </si>
  <si>
    <t>Prazo de Execução (meses)</t>
  </si>
  <si>
    <t>Data de Envio</t>
  </si>
  <si>
    <t>Status da Proposta</t>
  </si>
  <si>
    <t>Responsável_2</t>
  </si>
  <si>
    <t>Último Contato (data)</t>
  </si>
  <si>
    <t>Observações/Acompanhamento</t>
  </si>
  <si>
    <t>AGROTURN</t>
  </si>
  <si>
    <t>Novo</t>
  </si>
  <si>
    <t>Consultoria</t>
  </si>
  <si>
    <t>NO-GO</t>
  </si>
  <si>
    <t>Baixa Competitividade</t>
  </si>
  <si>
    <t>Email</t>
  </si>
  <si>
    <t>Ricardo</t>
  </si>
  <si>
    <t>Regularização de Reserva Legal - Usina Fotovoltaica</t>
  </si>
  <si>
    <t>Cumprimento Legal</t>
  </si>
  <si>
    <t>Consulting</t>
  </si>
  <si>
    <t>MG</t>
  </si>
  <si>
    <t>HIDROBR</t>
  </si>
  <si>
    <t>Parceiro</t>
  </si>
  <si>
    <t>GO</t>
  </si>
  <si>
    <t>Fabiano</t>
  </si>
  <si>
    <t>001_2026</t>
  </si>
  <si>
    <t xml:space="preserve">Execução dos PAEBMs das Barragens Miraí e Itamarati </t>
  </si>
  <si>
    <t>Enviada</t>
  </si>
  <si>
    <t>COPASA</t>
  </si>
  <si>
    <t>Ativo</t>
  </si>
  <si>
    <t>Saneamento</t>
  </si>
  <si>
    <t>Fora de Escopo</t>
  </si>
  <si>
    <t>Investigação de Passivo Ambiental</t>
  </si>
  <si>
    <t>Diagnóstico Ambiental</t>
  </si>
  <si>
    <t>AZURIT</t>
  </si>
  <si>
    <t>Monitoramento de Água Superficial e Subterrânea</t>
  </si>
  <si>
    <t>Monitoramento Ambiental</t>
  </si>
  <si>
    <t>CE</t>
  </si>
  <si>
    <t>CBA</t>
  </si>
  <si>
    <t>Indústria</t>
  </si>
  <si>
    <t>Portal de Compras</t>
  </si>
  <si>
    <t>Pedro</t>
  </si>
  <si>
    <t>Inventário para fins de Autorização de Supressão Vegetal</t>
  </si>
  <si>
    <t>Licenciamento Ambiental</t>
  </si>
  <si>
    <t>SP</t>
  </si>
  <si>
    <t>PETROBRAS</t>
  </si>
  <si>
    <t>Óleo e Gás</t>
  </si>
  <si>
    <t>Coleta e Determinações Laboratoriais físico-químicas e bacteriológicas</t>
  </si>
  <si>
    <t>RJ</t>
  </si>
  <si>
    <t>ECOBILITY</t>
  </si>
  <si>
    <t>Jaqueline</t>
  </si>
  <si>
    <t>002_2026</t>
  </si>
  <si>
    <t>Execução do Monitoramento da Biota Aquática</t>
  </si>
  <si>
    <t>ARCADIS</t>
  </si>
  <si>
    <t>004_2026</t>
  </si>
  <si>
    <t>Disponibilização de 01 Operador de Roçadeira</t>
  </si>
  <si>
    <t>Outros</t>
  </si>
  <si>
    <t>ALS LABORATÓRIO</t>
  </si>
  <si>
    <t>003_2026</t>
  </si>
  <si>
    <t>Execução de inventário de ictiofauna e Macrófitas</t>
  </si>
  <si>
    <t>Serviços de Assistência Técnica Médica em Processos Judiciais</t>
  </si>
  <si>
    <t xml:space="preserve">Serviços de monitoramento offshore de feições de óleo no mar </t>
  </si>
  <si>
    <t>GAIA CONSULT</t>
  </si>
  <si>
    <t>005_2026</t>
  </si>
  <si>
    <t>FQ e Hidrobio Volta Grande - 2 campanhas</t>
  </si>
  <si>
    <t>Laboratório</t>
  </si>
  <si>
    <t>IGAM</t>
  </si>
  <si>
    <t>Institucional</t>
  </si>
  <si>
    <t xml:space="preserve">Coletas e análises de águas superficiais e subterrâneas </t>
  </si>
  <si>
    <t>BEMIL</t>
  </si>
  <si>
    <t>Mineração</t>
  </si>
  <si>
    <t>Monitoramento da Qualidade do Ar</t>
  </si>
  <si>
    <t>CONDOMINIO TERRAS ALTAS</t>
  </si>
  <si>
    <t>Residencial</t>
  </si>
  <si>
    <t>Indisponibilidade Operacional</t>
  </si>
  <si>
    <t>Estudos para captação de água de nascente  (outorga)</t>
  </si>
  <si>
    <t>SAAE</t>
  </si>
  <si>
    <t>Indicação</t>
  </si>
  <si>
    <t>006_2026</t>
  </si>
  <si>
    <t>Elaboração de Plano de Manejo APA Municipal</t>
  </si>
  <si>
    <t>Aprovada</t>
  </si>
  <si>
    <t>AXIA ENERGIA</t>
  </si>
  <si>
    <t>Energia</t>
  </si>
  <si>
    <t xml:space="preserve">Serviços ambientais para atendimento de condicionantes </t>
  </si>
  <si>
    <t>Programas Ambientais</t>
  </si>
  <si>
    <t>BA</t>
  </si>
  <si>
    <t>ANGLOGOLD</t>
  </si>
  <si>
    <t>007_2026</t>
  </si>
  <si>
    <t>Relatório Ações e Campanhas do Programa de Comunicação Social</t>
  </si>
  <si>
    <t>Crosselling</t>
  </si>
  <si>
    <t>VIBRA ENERGIA</t>
  </si>
  <si>
    <t xml:space="preserve">Coleta, transporte e destinação final de resíduos </t>
  </si>
  <si>
    <t>ES</t>
  </si>
  <si>
    <t xml:space="preserve">Serviços de Investigação e Elaboração Projetos de Sistemas de Remediação de Áreas Impactadas </t>
  </si>
  <si>
    <t>MARON CONSULTORIA</t>
  </si>
  <si>
    <t>Prazo de Envio</t>
  </si>
  <si>
    <t xml:space="preserve">Monitoramento de Ictiofauna </t>
  </si>
  <si>
    <t>Serviços de Monitoramento e Avaliação Ambiental das Atividades de Exploração e Produção de Petróleo e Gás Natural</t>
  </si>
  <si>
    <t>BRASIL PCH</t>
  </si>
  <si>
    <t>Monitoramento de Efluentes</t>
  </si>
  <si>
    <t>Inativo</t>
  </si>
  <si>
    <t>Coleta, transporte e destinação final de resíduos químicos e biológicos</t>
  </si>
  <si>
    <t>SERV. TÉCNICOS ESPECIALIZADOS DE EXECUÇÃO DE PROGRAMA DE EDUCAÇÃO AMBIENTAL</t>
  </si>
  <si>
    <t>AETHRA</t>
  </si>
  <si>
    <t>Coleta e Transporte de Resíduos Ambulatoriais para Incineração</t>
  </si>
  <si>
    <t>Serviços de implementação do Programa de Educação Ambiental - PEAT</t>
  </si>
  <si>
    <t>DIAGNÓSTICO AMBIENTAL EM POSTOS DE SERVIÇOS</t>
  </si>
  <si>
    <t>DF</t>
  </si>
  <si>
    <t>REIS ENGENHARIA</t>
  </si>
  <si>
    <t>Coleta e análise de água superficial (físico-químico)</t>
  </si>
  <si>
    <t>ECOAR</t>
  </si>
  <si>
    <t xml:space="preserve">Monitoramento da Qualidade do Ar </t>
  </si>
  <si>
    <t>ENGIE</t>
  </si>
  <si>
    <t>Manejo de animais peçonhentos</t>
  </si>
  <si>
    <t>PA</t>
  </si>
  <si>
    <t>KINROSS</t>
  </si>
  <si>
    <t>008_2026</t>
  </si>
  <si>
    <t>Gestão e execução de pedido de Renovação de Licença de Operação - UHE Caçu</t>
  </si>
  <si>
    <t>GASMIG</t>
  </si>
  <si>
    <t>Apoio Operacional de Projetos e Gestão Ambiental</t>
  </si>
  <si>
    <t>Serviços Técnicos Especializados de Análise Ambiental por Imagens</t>
  </si>
  <si>
    <t>LIC - Serviços de Educação Ambiental e Comunicação PEA SEAL e UN-BA</t>
  </si>
  <si>
    <t>Tomada de Preço</t>
  </si>
  <si>
    <t>Elaboração de Estudos Ambientais (EIA/RIMA, RCA/PCA, PACUERA)</t>
  </si>
  <si>
    <t>009_2026</t>
  </si>
  <si>
    <t>AVALIAÇÃO E CONTESTAÇÃO DE LAUDO / PARECER TÉCNICO, CÁLCULO DE VALORAÇÃO DE DANO AMBIENTAL</t>
  </si>
  <si>
    <t>JAGUAR MINING</t>
  </si>
  <si>
    <t>010_2026</t>
  </si>
  <si>
    <t>Regularização e licenciamento ambiental das Unidades da Jaguar Mining</t>
  </si>
  <si>
    <t>Em elaboração</t>
  </si>
  <si>
    <t>Coleta e Análise de Solo</t>
  </si>
  <si>
    <t>Serviços de Coleta e Determinações Laboratoriais físico-químicas e bacteriológicas</t>
  </si>
  <si>
    <t>NEXUS LIGAS</t>
  </si>
  <si>
    <t>011_2026</t>
  </si>
  <si>
    <t>Atualização de RADA da Unidade Morro da Mina em Conselheiro Lafaiete – MG.</t>
  </si>
  <si>
    <t>MONITORAMENTO OFFSHORE DE FEIÇÕES DE ÓLEO NO MAR ATRAVÉS DE SISTEMA DE BOIAS DE DERIVA</t>
  </si>
  <si>
    <t>Localização Geográfica</t>
  </si>
  <si>
    <t>LICENCIAMENTO AMBIENTAL DO PROJETO REFAP REVAMP URFCC BLOWER.</t>
  </si>
  <si>
    <t>RS</t>
  </si>
  <si>
    <t>Serviços de capacitação de comunidade pesqueira para manutenção de motores a diesel</t>
  </si>
  <si>
    <t>Capacitação / treinamentos</t>
  </si>
  <si>
    <t>Execução de Programa de Monitoramento da Fauna - ETE Limoeiro - Timóteo/MG</t>
  </si>
  <si>
    <t>AGÊNCIA PEIXE VIVO</t>
  </si>
  <si>
    <t>012_2026</t>
  </si>
  <si>
    <t>Coleta e análise da qualidade da água</t>
  </si>
  <si>
    <t>VEREDAS</t>
  </si>
  <si>
    <t>013_2026</t>
  </si>
  <si>
    <t>Coleta e análise de comunidades hidrobiológicas</t>
  </si>
  <si>
    <t>SUDECAP</t>
  </si>
  <si>
    <t>014_2026</t>
  </si>
  <si>
    <t xml:space="preserve">Execução de serviços de monitoramento ambiental e social das obras do parque ciliar do onça </t>
  </si>
  <si>
    <t>Execução de análises químicas para Compostos Orgânicos Voláteis</t>
  </si>
  <si>
    <t>CONTROLE DE QUALIDADE DE PETRÓLEO, DERIVADOS, BIOCOMBUSTÍVEIS, ÁGUA E EFLUENTES</t>
  </si>
  <si>
    <t>IRANI</t>
  </si>
  <si>
    <t>Papel e Celulose</t>
  </si>
  <si>
    <t>Estudos para autorização de intervenção ambiental</t>
  </si>
  <si>
    <t>Responsável</t>
  </si>
  <si>
    <t>Observação</t>
  </si>
  <si>
    <t>Coluna</t>
  </si>
  <si>
    <t>Descrição/Exemplo</t>
  </si>
  <si>
    <t>Obrigatório na Pré-Triagem?</t>
  </si>
  <si>
    <t>Por quê? (Indicadores Poderosos)</t>
  </si>
  <si>
    <t>ID (Registro)</t>
  </si>
  <si>
    <t>Identificador único (ex.: OPP-2026-001)</t>
  </si>
  <si>
    <t>Sim</t>
  </si>
  <si>
    <t>Rastreabilidade básica; permite contagem total de oportunidades e auditoria. Indicador: Volume de leads por período.</t>
  </si>
  <si>
    <t>Data de Registro</t>
  </si>
  <si>
    <t>Data de recebimento (ex.: 06/01/2026)</t>
  </si>
  <si>
    <t>Marca o início do ciclo; essencial para métricas de tempo. Indicador: Tempo médio de pré-triagem (ex.: dias até decisão).</t>
  </si>
  <si>
    <t>Nome do cliente ou prospect (ex.: Empresa XYZ)</t>
  </si>
  <si>
    <t>Identifica o pagador; cruza com histórico. Indicador: Taxa de recorrência de clientes e análise por porte (pequeno/médio/grande, se adicionar subcampo).</t>
  </si>
  <si>
    <t>SEM CARACTER ESPECIAL</t>
  </si>
  <si>
    <t>Segmento (do Cliente)</t>
  </si>
  <si>
    <t>Setor de atuação (ex.: Mineração, Agro, Energia)</t>
  </si>
  <si>
    <t>Alinha com aderência estratégica (seção 7.1 do POP). Indicador: Desempenho por segmento (ex.: % de GO em Mineração vs. Agro; identifica nichos rentáveis).</t>
  </si>
  <si>
    <t>Lista de Validação (evitar erros de preenchimento)</t>
  </si>
  <si>
    <t>Escopo Resumido da Demanda</t>
  </si>
  <si>
    <t>Breve descrição (ex.: "Consultoria para licenciamento ambiental de mina")</t>
  </si>
  <si>
    <t>Captura essência para triagem rápida (verifica se fora do core business). Indicador: Temas mais frequentes (ex.: licenciamento vs. auditoria; detecta tendências de mercado).</t>
  </si>
  <si>
    <t>Canal de Entrada</t>
  </si>
  <si>
    <t>Fonte da oportunidade (ex.: E-mail, Indicação, CRM, WhatsApp, Edital)</t>
  </si>
  <si>
    <t>Rastreia origens (abrangência do POP). Indicador: Eficácia de canais (ex.: % de GO por indicação vs. edital; otimiza marketing).</t>
  </si>
  <si>
    <t>Status da Pré-Triagem</t>
  </si>
  <si>
    <t>Resultado inicial (ex.: GO, NO-GO)</t>
  </si>
  <si>
    <t>Registra Gate 1 (seção 6). Indicador: Taxa de aprovação inicial (ex.: 70% GO; monitora rigor da triagem).</t>
  </si>
  <si>
    <t>Motivo de Decisão (se NO-GO)</t>
  </si>
  <si>
    <t>Razão breve (ex.: "Escopo fora do core"; "Risco jurídico alto")</t>
  </si>
  <si>
    <t>Sim (só se NO-GO)</t>
  </si>
  <si>
    <t>Baseado em critérios eliminatórios (seção 6). Indicador: Razões comuns de descarte (ex.: top 3 motivos; calibra o POP para reduzir NO-GO evitáveis).</t>
  </si>
  <si>
    <t>Nome do comercial responsável (ex.: João Silva)</t>
  </si>
  <si>
    <t>Define papéis (seção 4). Indicador: Desempenho por pessoa (ex.: volume de leads processados; identifica treinamentos necessários).</t>
  </si>
  <si>
    <t>Data de Decisão</t>
  </si>
  <si>
    <t>Data da pré-triagem concluída (ex.: 07/01/2026)</t>
  </si>
  <si>
    <t>Fecha o ciclo inicial. Indicador: Eficiência operacional (ex.: tempo médio de processamento; compara com metas).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</si>
</sst>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2" borderId="0" xfId="0" applyFont="1" applyFill="1" applyAlignment="1">
      <alignment vertical="center" wrapText="1"/>
    </xf>
    <xf numFmtId="14" fontId="0" fillId="0" borderId="0" xfId="0" applyNumberFormat="1"/>
    <xf numFmtId="0" fontId="0" fillId="0" borderId="0" xfId="0" applyProtection="1">
      <protection locked="0"/>
    </xf>
    <xf numFmtId="0" fontId="1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8" fontId="0" fillId="0" borderId="0" xfId="0" applyNumberFormat="1"/>
    <xf numFmtId="2" fontId="0" fillId="0" borderId="0" xfId="0" applyNumberFormat="1"/>
    <xf numFmtId="1" fontId="0" fillId="0" borderId="0" xfId="0" applyNumberFormat="1"/>
    <xf numFmtId="2" fontId="1" fillId="2" borderId="0" xfId="0" applyNumberFormat="1" applyFont="1" applyFill="1" applyAlignment="1">
      <alignment vertical="center" wrapText="1"/>
    </xf>
  </cellXfs>
  <cellStyles count="2">
    <cellStyle name="Moeda 2" xfId="1" xr:uid="{058462A2-C540-4572-87DA-267CB36662B8}"/>
    <cellStyle name="Normal" xfId="0" builtinId="0"/>
  </cellStyles>
  <dxfs count="6">
    <dxf>
      <numFmt numFmtId="2" formatCode="0.00"/>
    </dxf>
    <dxf>
      <numFmt numFmtId="19" formatCode="dd/mm/yyyy"/>
    </dxf>
    <dxf>
      <fill>
        <patternFill patternType="lightUp"/>
      </fill>
    </dxf>
    <dxf>
      <fill>
        <patternFill patternType="lightUp">
          <bgColor theme="0"/>
        </patternFill>
      </fill>
      <border>
        <vertical/>
        <horizontal/>
      </border>
    </dxf>
    <dxf>
      <fill>
        <patternFill patternType="lightUp">
          <bgColor theme="0"/>
        </patternFill>
      </fill>
      <border>
        <vertical/>
        <horizontal/>
      </border>
    </dxf>
    <dxf>
      <fill>
        <patternFill patternType="lightUp">
          <bgColor theme="0"/>
        </patternFill>
      </fill>
      <border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52</xdr:row>
          <xdr:rowOff>47625</xdr:rowOff>
        </xdr:from>
        <xdr:to>
          <xdr:col>1</xdr:col>
          <xdr:colOff>819150</xdr:colOff>
          <xdr:row>55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Novo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B66B6D-2CDB-437C-8C14-7B9C42577B77}" name="Tabela1" displayName="Tabela1" ref="A1:U53" totalsRowShown="0">
  <autoFilter ref="A1:U53" xr:uid="{D2B66B6D-2CDB-437C-8C14-7B9C42577B77}"/>
  <tableColumns count="21">
    <tableColumn id="1" xr3:uid="{BFA27C6D-D432-4A3F-91CB-E8C77A325543}" name="ID_Oportunidade"/>
    <tableColumn id="2" xr3:uid="{5042C6E7-34F4-401B-995F-39EDC95169E8}" name="Data de Entrada" dataDxfId="1"/>
    <tableColumn id="3" xr3:uid="{D15FFA74-48C5-45D7-AB9C-CB7E899CC18C}" name="Cliente"/>
    <tableColumn id="4" xr3:uid="{B66F0CE9-E3B3-4BD7-B3DB-C23726F24E75}" name="Status do Cliente"/>
    <tableColumn id="5" xr3:uid="{4149A567-D056-4640-A3CC-0A35EDC405CD}" name="Segmento"/>
    <tableColumn id="6" xr3:uid="{DF848E66-211B-40EF-830C-52748F92531C}" name="Decisão"/>
    <tableColumn id="7" xr3:uid="{264D2FE7-81F4-4328-87FE-1892171804C7}" name="Justificativa"/>
    <tableColumn id="8" xr3:uid="{8F98CFB5-53C8-44DE-BFF7-C6C885B1116D}" name="Canal"/>
    <tableColumn id="9" xr3:uid="{C8F6BFB1-C6BA-4E57-93FF-63979CD41B01}" name="Responsável_1"/>
    <tableColumn id="10" xr3:uid="{465F6F76-3825-4900-B0D1-A3A5A37A3BD1}" name="Código Proposta"/>
    <tableColumn id="11" xr3:uid="{3B6FEC41-CDEA-448B-A73A-8AE7B8836DA9}" name="Objeto"/>
    <tableColumn id="12" xr3:uid="{E4C93FE7-091A-4A46-9DED-1B6EA19E70E2}" name="Categoria"/>
    <tableColumn id="13" xr3:uid="{006067BE-AFD4-4B26-96BE-5F7797779476}" name="Área do Negócio"/>
    <tableColumn id="14" xr3:uid="{1DBDE1C3-7364-4093-BE2B-B984393966C4}" name="Estado"/>
    <tableColumn id="15" xr3:uid="{1F7DB062-9B25-4203-BAA2-9D3A8237FD30}" name="Valor"/>
    <tableColumn id="16" xr3:uid="{A255C907-170C-4C97-91CC-040BE784FD28}" name="Prazo de Execução (meses)" dataDxfId="0"/>
    <tableColumn id="17" xr3:uid="{1823B9EE-E588-4BB7-BA28-DD795FE78C4F}" name="Data de Envio"/>
    <tableColumn id="18" xr3:uid="{D5C4C0FA-1223-4C8B-B800-9ADA10B31C83}" name="Status da Proposta"/>
    <tableColumn id="19" xr3:uid="{19FAE9D1-77D1-4745-8449-9053E026F866}" name="Responsável_2"/>
    <tableColumn id="20" xr3:uid="{568E12D6-62B8-45C4-AE3E-4577504FF96A}" name="Último Contato (data)"/>
    <tableColumn id="21" xr3:uid="{3F6409FA-BAF2-4DF5-9F9A-F46511D10FD8}" name="Observações/Acompanhament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53"/>
  <sheetViews>
    <sheetView tabSelected="1" zoomScale="85" zoomScaleNormal="85" workbookViewId="0">
      <selection activeCell="A3" sqref="A3:XFD3"/>
    </sheetView>
  </sheetViews>
  <sheetFormatPr defaultColWidth="18.140625" defaultRowHeight="15" x14ac:dyDescent="0.25"/>
  <cols>
    <col min="1" max="1" width="18.7109375" bestFit="1" customWidth="1"/>
    <col min="2" max="2" width="17.42578125" bestFit="1" customWidth="1"/>
    <col min="3" max="3" width="19.140625" bestFit="1" customWidth="1"/>
    <col min="4" max="4" width="22.85546875" customWidth="1"/>
    <col min="5" max="5" width="14.85546875" customWidth="1"/>
    <col min="6" max="6" width="12.7109375" customWidth="1"/>
    <col min="7" max="7" width="28.28515625" customWidth="1"/>
    <col min="8" max="8" width="18.140625" bestFit="1" customWidth="1"/>
    <col min="9" max="9" width="20.42578125" customWidth="1"/>
    <col min="10" max="10" width="22.28515625" customWidth="1"/>
    <col min="11" max="11" width="52.5703125" bestFit="1" customWidth="1"/>
    <col min="12" max="12" width="26.140625" bestFit="1" customWidth="1"/>
    <col min="13" max="13" width="18" bestFit="1" customWidth="1"/>
    <col min="14" max="14" width="11.28515625" customWidth="1"/>
    <col min="15" max="15" width="15.5703125" bestFit="1" customWidth="1"/>
    <col min="16" max="16" width="13.7109375" style="10" customWidth="1"/>
    <col min="17" max="17" width="19" customWidth="1"/>
    <col min="18" max="18" width="25.140625" customWidth="1"/>
    <col min="19" max="19" width="16.5703125" bestFit="1" customWidth="1"/>
    <col min="20" max="20" width="27.28515625" hidden="1" customWidth="1"/>
    <col min="21" max="21" width="32.42578125" bestFit="1" customWidth="1"/>
  </cols>
  <sheetData>
    <row r="1" spans="1:21" ht="4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12" t="s">
        <v>15</v>
      </c>
      <c r="Q1" s="4" t="s">
        <v>16</v>
      </c>
      <c r="R1" s="4" t="s">
        <v>17</v>
      </c>
      <c r="S1" s="4" t="s">
        <v>18</v>
      </c>
      <c r="T1" s="8" t="s">
        <v>19</v>
      </c>
      <c r="U1" s="8" t="s">
        <v>20</v>
      </c>
    </row>
    <row r="2" spans="1:21" x14ac:dyDescent="0.25">
      <c r="A2">
        <v>1</v>
      </c>
      <c r="B2" s="5">
        <v>46027</v>
      </c>
      <c r="C2" t="s">
        <v>21</v>
      </c>
      <c r="D2" t="s">
        <v>22</v>
      </c>
      <c r="E2" t="s">
        <v>23</v>
      </c>
      <c r="F2" s="6" t="s">
        <v>24</v>
      </c>
      <c r="G2" t="s">
        <v>25</v>
      </c>
      <c r="H2" t="s">
        <v>26</v>
      </c>
      <c r="I2" t="s">
        <v>27</v>
      </c>
      <c r="K2" t="s">
        <v>28</v>
      </c>
      <c r="L2" t="s">
        <v>29</v>
      </c>
      <c r="M2" t="s">
        <v>30</v>
      </c>
      <c r="N2" t="s">
        <v>31</v>
      </c>
    </row>
    <row r="3" spans="1:21" x14ac:dyDescent="0.25">
      <c r="A3">
        <v>2</v>
      </c>
      <c r="B3" s="5">
        <v>46010</v>
      </c>
      <c r="C3" t="s">
        <v>32</v>
      </c>
      <c r="D3" t="s">
        <v>33</v>
      </c>
      <c r="E3" t="s">
        <v>23</v>
      </c>
      <c r="F3" s="6" t="s">
        <v>34</v>
      </c>
      <c r="H3" t="s">
        <v>26</v>
      </c>
      <c r="I3" t="s">
        <v>35</v>
      </c>
      <c r="J3" t="s">
        <v>36</v>
      </c>
      <c r="K3" t="s">
        <v>37</v>
      </c>
      <c r="L3" t="s">
        <v>29</v>
      </c>
      <c r="M3" t="s">
        <v>30</v>
      </c>
      <c r="N3" t="s">
        <v>34</v>
      </c>
      <c r="O3" s="9">
        <v>2069002.63</v>
      </c>
      <c r="P3" s="11">
        <v>12</v>
      </c>
      <c r="Q3" s="5">
        <v>46045</v>
      </c>
      <c r="R3" t="s">
        <v>38</v>
      </c>
      <c r="S3" t="s">
        <v>27</v>
      </c>
    </row>
    <row r="4" spans="1:21" x14ac:dyDescent="0.25">
      <c r="A4">
        <v>3</v>
      </c>
      <c r="B4" s="5">
        <v>46028</v>
      </c>
      <c r="C4" t="s">
        <v>39</v>
      </c>
      <c r="D4" t="s">
        <v>40</v>
      </c>
      <c r="E4" t="s">
        <v>41</v>
      </c>
      <c r="F4" s="6" t="s">
        <v>24</v>
      </c>
      <c r="G4" s="6" t="s">
        <v>42</v>
      </c>
      <c r="H4" t="s">
        <v>26</v>
      </c>
      <c r="I4" t="s">
        <v>27</v>
      </c>
      <c r="J4" s="6"/>
      <c r="K4" t="s">
        <v>43</v>
      </c>
      <c r="L4" t="s">
        <v>44</v>
      </c>
      <c r="M4" t="s">
        <v>30</v>
      </c>
      <c r="N4" t="s">
        <v>31</v>
      </c>
    </row>
    <row r="5" spans="1:21" x14ac:dyDescent="0.25">
      <c r="A5">
        <v>4</v>
      </c>
      <c r="B5" s="5">
        <v>46028</v>
      </c>
      <c r="C5" t="s">
        <v>45</v>
      </c>
      <c r="D5" t="s">
        <v>33</v>
      </c>
      <c r="E5" t="s">
        <v>23</v>
      </c>
      <c r="F5" s="6" t="s">
        <v>24</v>
      </c>
      <c r="G5" t="s">
        <v>42</v>
      </c>
      <c r="H5" t="s">
        <v>26</v>
      </c>
      <c r="I5" t="s">
        <v>27</v>
      </c>
      <c r="K5" t="s">
        <v>46</v>
      </c>
      <c r="L5" t="s">
        <v>47</v>
      </c>
      <c r="M5" t="s">
        <v>30</v>
      </c>
      <c r="N5" t="s">
        <v>48</v>
      </c>
    </row>
    <row r="6" spans="1:21" x14ac:dyDescent="0.25">
      <c r="A6">
        <v>5</v>
      </c>
      <c r="B6" s="5">
        <v>46028</v>
      </c>
      <c r="C6" t="s">
        <v>49</v>
      </c>
      <c r="D6" t="s">
        <v>22</v>
      </c>
      <c r="E6" t="s">
        <v>50</v>
      </c>
      <c r="F6" s="6" t="s">
        <v>24</v>
      </c>
      <c r="G6" t="s">
        <v>25</v>
      </c>
      <c r="H6" t="s">
        <v>51</v>
      </c>
      <c r="I6" t="s">
        <v>52</v>
      </c>
      <c r="K6" t="s">
        <v>53</v>
      </c>
      <c r="L6" t="s">
        <v>54</v>
      </c>
      <c r="M6" t="s">
        <v>30</v>
      </c>
      <c r="N6" t="s">
        <v>55</v>
      </c>
    </row>
    <row r="7" spans="1:21" x14ac:dyDescent="0.25">
      <c r="A7">
        <v>6</v>
      </c>
      <c r="B7" s="5">
        <v>46029</v>
      </c>
      <c r="C7" t="s">
        <v>56</v>
      </c>
      <c r="D7" t="s">
        <v>22</v>
      </c>
      <c r="E7" t="s">
        <v>57</v>
      </c>
      <c r="F7" s="6" t="s">
        <v>24</v>
      </c>
      <c r="G7" t="s">
        <v>25</v>
      </c>
      <c r="H7" t="s">
        <v>51</v>
      </c>
      <c r="I7" t="s">
        <v>52</v>
      </c>
      <c r="K7" t="s">
        <v>58</v>
      </c>
      <c r="L7" t="s">
        <v>47</v>
      </c>
      <c r="M7" t="s">
        <v>30</v>
      </c>
      <c r="N7" t="s">
        <v>59</v>
      </c>
    </row>
    <row r="8" spans="1:21" x14ac:dyDescent="0.25">
      <c r="A8">
        <v>7</v>
      </c>
      <c r="B8" s="5">
        <v>46029</v>
      </c>
      <c r="C8" t="s">
        <v>60</v>
      </c>
      <c r="D8" t="s">
        <v>22</v>
      </c>
      <c r="E8" t="s">
        <v>23</v>
      </c>
      <c r="F8" s="6" t="s">
        <v>34</v>
      </c>
      <c r="H8" t="s">
        <v>26</v>
      </c>
      <c r="I8" t="s">
        <v>61</v>
      </c>
      <c r="J8" t="s">
        <v>62</v>
      </c>
      <c r="K8" t="s">
        <v>63</v>
      </c>
      <c r="L8" t="s">
        <v>47</v>
      </c>
      <c r="M8" t="s">
        <v>30</v>
      </c>
      <c r="N8" t="s">
        <v>34</v>
      </c>
      <c r="O8" s="9">
        <v>0</v>
      </c>
      <c r="P8" s="11">
        <v>36</v>
      </c>
      <c r="Q8" s="5">
        <v>46045</v>
      </c>
      <c r="R8" t="s">
        <v>38</v>
      </c>
      <c r="S8" t="s">
        <v>52</v>
      </c>
    </row>
    <row r="9" spans="1:21" x14ac:dyDescent="0.25">
      <c r="A9">
        <v>8</v>
      </c>
      <c r="B9" s="5">
        <v>46029</v>
      </c>
      <c r="C9" t="s">
        <v>64</v>
      </c>
      <c r="D9" t="s">
        <v>33</v>
      </c>
      <c r="E9" t="s">
        <v>23</v>
      </c>
      <c r="F9" t="s">
        <v>34</v>
      </c>
      <c r="G9" s="6"/>
      <c r="H9" t="s">
        <v>26</v>
      </c>
      <c r="I9" t="s">
        <v>27</v>
      </c>
      <c r="J9" s="6" t="s">
        <v>65</v>
      </c>
      <c r="K9" t="s">
        <v>66</v>
      </c>
      <c r="L9" t="s">
        <v>67</v>
      </c>
      <c r="M9" t="s">
        <v>30</v>
      </c>
      <c r="N9" t="s">
        <v>31</v>
      </c>
      <c r="O9" s="9">
        <v>141309</v>
      </c>
      <c r="P9" s="10">
        <v>12</v>
      </c>
      <c r="Q9" s="5">
        <v>46031</v>
      </c>
      <c r="R9" t="s">
        <v>38</v>
      </c>
      <c r="S9" t="s">
        <v>27</v>
      </c>
    </row>
    <row r="10" spans="1:21" x14ac:dyDescent="0.25">
      <c r="A10">
        <v>9</v>
      </c>
      <c r="B10" s="5">
        <v>46029</v>
      </c>
      <c r="C10" t="s">
        <v>68</v>
      </c>
      <c r="D10" t="s">
        <v>33</v>
      </c>
      <c r="E10" t="s">
        <v>23</v>
      </c>
      <c r="F10" t="s">
        <v>34</v>
      </c>
      <c r="H10" t="s">
        <v>26</v>
      </c>
      <c r="I10" t="s">
        <v>27</v>
      </c>
      <c r="J10" t="s">
        <v>69</v>
      </c>
      <c r="K10" t="s">
        <v>70</v>
      </c>
      <c r="L10" t="s">
        <v>44</v>
      </c>
      <c r="M10" t="s">
        <v>30</v>
      </c>
      <c r="N10" t="s">
        <v>31</v>
      </c>
      <c r="O10" s="9">
        <v>94071.81</v>
      </c>
      <c r="P10" s="10">
        <v>2</v>
      </c>
      <c r="Q10" s="5">
        <v>46031</v>
      </c>
      <c r="R10" t="s">
        <v>38</v>
      </c>
      <c r="S10" t="s">
        <v>27</v>
      </c>
    </row>
    <row r="11" spans="1:21" x14ac:dyDescent="0.25">
      <c r="A11">
        <v>10</v>
      </c>
      <c r="B11" s="5">
        <v>46031</v>
      </c>
      <c r="C11" t="s">
        <v>56</v>
      </c>
      <c r="D11" t="s">
        <v>22</v>
      </c>
      <c r="E11" t="s">
        <v>57</v>
      </c>
      <c r="F11" t="s">
        <v>24</v>
      </c>
      <c r="G11" t="s">
        <v>42</v>
      </c>
      <c r="H11" t="s">
        <v>51</v>
      </c>
      <c r="I11" t="s">
        <v>52</v>
      </c>
      <c r="K11" t="s">
        <v>71</v>
      </c>
      <c r="L11" t="s">
        <v>67</v>
      </c>
      <c r="M11" t="s">
        <v>30</v>
      </c>
      <c r="N11" t="s">
        <v>59</v>
      </c>
    </row>
    <row r="12" spans="1:21" x14ac:dyDescent="0.25">
      <c r="A12">
        <v>11</v>
      </c>
      <c r="B12" s="5">
        <v>46031</v>
      </c>
      <c r="C12" t="s">
        <v>56</v>
      </c>
      <c r="D12" t="s">
        <v>22</v>
      </c>
      <c r="E12" t="s">
        <v>57</v>
      </c>
      <c r="F12" t="s">
        <v>24</v>
      </c>
      <c r="G12" t="s">
        <v>42</v>
      </c>
      <c r="H12" t="s">
        <v>51</v>
      </c>
      <c r="I12" t="s">
        <v>52</v>
      </c>
      <c r="K12" t="s">
        <v>72</v>
      </c>
      <c r="L12" t="s">
        <v>47</v>
      </c>
      <c r="M12" t="s">
        <v>30</v>
      </c>
      <c r="N12" t="s">
        <v>59</v>
      </c>
    </row>
    <row r="13" spans="1:21" x14ac:dyDescent="0.25">
      <c r="A13">
        <v>12</v>
      </c>
      <c r="B13" s="5">
        <v>46035</v>
      </c>
      <c r="C13" t="s">
        <v>73</v>
      </c>
      <c r="D13" t="s">
        <v>22</v>
      </c>
      <c r="E13" t="s">
        <v>23</v>
      </c>
      <c r="F13" t="s">
        <v>34</v>
      </c>
      <c r="H13" t="s">
        <v>26</v>
      </c>
      <c r="I13" t="s">
        <v>27</v>
      </c>
      <c r="J13" t="s">
        <v>74</v>
      </c>
      <c r="K13" t="s">
        <v>75</v>
      </c>
      <c r="L13" t="s">
        <v>47</v>
      </c>
      <c r="M13" t="s">
        <v>76</v>
      </c>
      <c r="N13" t="s">
        <v>31</v>
      </c>
      <c r="O13" s="9">
        <v>106921.5</v>
      </c>
      <c r="P13" s="10">
        <v>12</v>
      </c>
      <c r="Q13" s="5">
        <v>46038</v>
      </c>
      <c r="R13" t="s">
        <v>38</v>
      </c>
      <c r="S13" t="s">
        <v>52</v>
      </c>
    </row>
    <row r="14" spans="1:21" x14ac:dyDescent="0.25">
      <c r="A14">
        <v>13</v>
      </c>
      <c r="B14" s="5">
        <v>46002</v>
      </c>
      <c r="C14" t="s">
        <v>77</v>
      </c>
      <c r="D14" t="s">
        <v>22</v>
      </c>
      <c r="E14" t="s">
        <v>78</v>
      </c>
      <c r="F14" t="s">
        <v>24</v>
      </c>
      <c r="G14" t="s">
        <v>25</v>
      </c>
      <c r="H14" t="s">
        <v>26</v>
      </c>
      <c r="I14" t="s">
        <v>27</v>
      </c>
      <c r="K14" t="s">
        <v>79</v>
      </c>
      <c r="L14" t="s">
        <v>47</v>
      </c>
      <c r="M14" t="s">
        <v>30</v>
      </c>
      <c r="N14" t="s">
        <v>31</v>
      </c>
    </row>
    <row r="15" spans="1:21" x14ac:dyDescent="0.25">
      <c r="A15">
        <v>14</v>
      </c>
      <c r="B15" s="5">
        <v>46035</v>
      </c>
      <c r="C15" t="s">
        <v>80</v>
      </c>
      <c r="D15" t="s">
        <v>22</v>
      </c>
      <c r="E15" t="s">
        <v>81</v>
      </c>
      <c r="F15" t="s">
        <v>24</v>
      </c>
      <c r="G15" t="s">
        <v>42</v>
      </c>
      <c r="H15" t="s">
        <v>26</v>
      </c>
      <c r="I15" t="s">
        <v>27</v>
      </c>
      <c r="K15" t="s">
        <v>82</v>
      </c>
      <c r="L15" t="s">
        <v>47</v>
      </c>
      <c r="M15" t="s">
        <v>30</v>
      </c>
      <c r="N15" t="s">
        <v>31</v>
      </c>
    </row>
    <row r="16" spans="1:21" x14ac:dyDescent="0.25">
      <c r="A16">
        <v>15</v>
      </c>
      <c r="B16" s="5">
        <v>46035</v>
      </c>
      <c r="C16" t="s">
        <v>83</v>
      </c>
      <c r="D16" t="s">
        <v>22</v>
      </c>
      <c r="E16" t="s">
        <v>84</v>
      </c>
      <c r="F16" t="s">
        <v>24</v>
      </c>
      <c r="G16" t="s">
        <v>85</v>
      </c>
      <c r="H16" t="s">
        <v>26</v>
      </c>
      <c r="I16" t="s">
        <v>27</v>
      </c>
      <c r="K16" t="s">
        <v>86</v>
      </c>
      <c r="L16" t="s">
        <v>54</v>
      </c>
      <c r="M16" t="s">
        <v>30</v>
      </c>
      <c r="N16" t="s">
        <v>31</v>
      </c>
    </row>
    <row r="17" spans="1:19" x14ac:dyDescent="0.25">
      <c r="A17">
        <v>16</v>
      </c>
      <c r="B17" s="5">
        <v>46035</v>
      </c>
      <c r="C17" t="s">
        <v>87</v>
      </c>
      <c r="D17" t="s">
        <v>22</v>
      </c>
      <c r="E17" t="s">
        <v>78</v>
      </c>
      <c r="F17" t="s">
        <v>34</v>
      </c>
      <c r="H17" t="s">
        <v>88</v>
      </c>
      <c r="I17" t="s">
        <v>35</v>
      </c>
      <c r="J17" t="s">
        <v>89</v>
      </c>
      <c r="K17" t="s">
        <v>90</v>
      </c>
      <c r="L17" t="s">
        <v>44</v>
      </c>
      <c r="M17" t="s">
        <v>30</v>
      </c>
      <c r="N17" t="s">
        <v>31</v>
      </c>
      <c r="O17" s="9">
        <v>299810.28000000003</v>
      </c>
      <c r="P17" s="10">
        <v>8</v>
      </c>
      <c r="Q17" s="5">
        <v>46041</v>
      </c>
      <c r="R17" t="s">
        <v>91</v>
      </c>
      <c r="S17" t="s">
        <v>52</v>
      </c>
    </row>
    <row r="18" spans="1:19" x14ac:dyDescent="0.25">
      <c r="A18">
        <v>17</v>
      </c>
      <c r="B18" s="5">
        <v>46035</v>
      </c>
      <c r="C18" t="s">
        <v>92</v>
      </c>
      <c r="D18" t="s">
        <v>22</v>
      </c>
      <c r="E18" t="s">
        <v>93</v>
      </c>
      <c r="F18" t="s">
        <v>24</v>
      </c>
      <c r="G18" t="s">
        <v>85</v>
      </c>
      <c r="H18" t="s">
        <v>51</v>
      </c>
      <c r="I18" t="s">
        <v>52</v>
      </c>
      <c r="K18" t="s">
        <v>94</v>
      </c>
      <c r="L18" t="s">
        <v>95</v>
      </c>
      <c r="M18" t="s">
        <v>30</v>
      </c>
      <c r="N18" t="s">
        <v>96</v>
      </c>
      <c r="O18" s="9"/>
      <c r="Q18" s="5"/>
    </row>
    <row r="19" spans="1:19" x14ac:dyDescent="0.25">
      <c r="A19">
        <v>18</v>
      </c>
      <c r="B19" s="5">
        <v>46036</v>
      </c>
      <c r="C19" t="s">
        <v>97</v>
      </c>
      <c r="D19" t="s">
        <v>40</v>
      </c>
      <c r="E19" t="s">
        <v>81</v>
      </c>
      <c r="F19" t="s">
        <v>34</v>
      </c>
      <c r="H19" t="s">
        <v>26</v>
      </c>
      <c r="I19" t="s">
        <v>61</v>
      </c>
      <c r="J19" t="s">
        <v>98</v>
      </c>
      <c r="K19" t="s">
        <v>99</v>
      </c>
      <c r="L19" t="s">
        <v>95</v>
      </c>
      <c r="M19" t="s">
        <v>30</v>
      </c>
      <c r="N19" t="s">
        <v>34</v>
      </c>
      <c r="O19" s="9">
        <v>0</v>
      </c>
      <c r="P19" s="10">
        <v>2</v>
      </c>
      <c r="Q19" s="5">
        <v>46036</v>
      </c>
      <c r="R19" t="s">
        <v>100</v>
      </c>
      <c r="S19" t="s">
        <v>52</v>
      </c>
    </row>
    <row r="20" spans="1:19" x14ac:dyDescent="0.25">
      <c r="A20">
        <v>19</v>
      </c>
      <c r="B20" s="5">
        <v>46035</v>
      </c>
      <c r="C20" t="s">
        <v>101</v>
      </c>
      <c r="D20" t="s">
        <v>22</v>
      </c>
      <c r="E20" t="s">
        <v>57</v>
      </c>
      <c r="F20" t="s">
        <v>24</v>
      </c>
      <c r="G20" t="s">
        <v>42</v>
      </c>
      <c r="H20" t="s">
        <v>26</v>
      </c>
      <c r="I20" t="s">
        <v>27</v>
      </c>
      <c r="K20" t="s">
        <v>102</v>
      </c>
      <c r="L20" t="s">
        <v>67</v>
      </c>
      <c r="M20" t="s">
        <v>30</v>
      </c>
      <c r="N20" t="s">
        <v>103</v>
      </c>
    </row>
    <row r="21" spans="1:19" x14ac:dyDescent="0.25">
      <c r="A21">
        <v>20</v>
      </c>
      <c r="B21" s="5">
        <v>46038</v>
      </c>
      <c r="C21" t="s">
        <v>56</v>
      </c>
      <c r="D21" t="s">
        <v>22</v>
      </c>
      <c r="E21" t="s">
        <v>57</v>
      </c>
      <c r="F21" t="s">
        <v>24</v>
      </c>
      <c r="G21" t="s">
        <v>42</v>
      </c>
      <c r="H21" t="s">
        <v>51</v>
      </c>
      <c r="I21" t="s">
        <v>52</v>
      </c>
      <c r="K21" t="s">
        <v>104</v>
      </c>
      <c r="L21" t="s">
        <v>44</v>
      </c>
      <c r="M21" t="s">
        <v>30</v>
      </c>
      <c r="N21" t="s">
        <v>59</v>
      </c>
    </row>
    <row r="22" spans="1:19" x14ac:dyDescent="0.25">
      <c r="A22">
        <v>21</v>
      </c>
      <c r="B22" s="5">
        <v>46041</v>
      </c>
      <c r="C22" t="s">
        <v>105</v>
      </c>
      <c r="D22" t="s">
        <v>22</v>
      </c>
      <c r="E22" t="s">
        <v>23</v>
      </c>
      <c r="F22" t="s">
        <v>24</v>
      </c>
      <c r="G22" t="s">
        <v>106</v>
      </c>
      <c r="H22" t="s">
        <v>26</v>
      </c>
      <c r="I22" t="s">
        <v>27</v>
      </c>
      <c r="K22" t="s">
        <v>107</v>
      </c>
      <c r="L22" t="s">
        <v>95</v>
      </c>
      <c r="M22" t="s">
        <v>30</v>
      </c>
      <c r="N22" t="s">
        <v>31</v>
      </c>
    </row>
    <row r="23" spans="1:19" x14ac:dyDescent="0.25">
      <c r="A23">
        <v>22</v>
      </c>
      <c r="B23" s="5">
        <v>46041</v>
      </c>
      <c r="C23" t="s">
        <v>56</v>
      </c>
      <c r="D23" t="s">
        <v>22</v>
      </c>
      <c r="E23" t="s">
        <v>23</v>
      </c>
      <c r="F23" t="s">
        <v>24</v>
      </c>
      <c r="G23" t="s">
        <v>42</v>
      </c>
      <c r="H23" t="s">
        <v>51</v>
      </c>
      <c r="I23" t="s">
        <v>52</v>
      </c>
      <c r="K23" t="s">
        <v>108</v>
      </c>
      <c r="L23" t="s">
        <v>47</v>
      </c>
      <c r="M23" t="s">
        <v>30</v>
      </c>
      <c r="N23" t="s">
        <v>59</v>
      </c>
    </row>
    <row r="24" spans="1:19" x14ac:dyDescent="0.25">
      <c r="A24">
        <v>23</v>
      </c>
      <c r="B24" s="5">
        <v>46042</v>
      </c>
      <c r="C24" t="s">
        <v>109</v>
      </c>
      <c r="D24" t="s">
        <v>22</v>
      </c>
      <c r="E24" t="s">
        <v>93</v>
      </c>
      <c r="F24" t="s">
        <v>24</v>
      </c>
      <c r="G24" t="s">
        <v>25</v>
      </c>
      <c r="H24" t="s">
        <v>26</v>
      </c>
      <c r="I24" t="s">
        <v>52</v>
      </c>
      <c r="K24" t="s">
        <v>110</v>
      </c>
      <c r="L24" t="s">
        <v>95</v>
      </c>
      <c r="M24" t="s">
        <v>30</v>
      </c>
      <c r="N24" t="s">
        <v>31</v>
      </c>
    </row>
    <row r="25" spans="1:19" x14ac:dyDescent="0.25">
      <c r="A25">
        <v>24</v>
      </c>
      <c r="B25" s="5">
        <v>46043</v>
      </c>
      <c r="C25" t="s">
        <v>39</v>
      </c>
      <c r="D25" t="s">
        <v>111</v>
      </c>
      <c r="E25" t="s">
        <v>41</v>
      </c>
      <c r="F25" t="s">
        <v>24</v>
      </c>
      <c r="G25" t="s">
        <v>42</v>
      </c>
      <c r="H25" t="s">
        <v>26</v>
      </c>
      <c r="I25" t="s">
        <v>52</v>
      </c>
      <c r="K25" t="s">
        <v>112</v>
      </c>
      <c r="L25" t="s">
        <v>29</v>
      </c>
      <c r="M25" t="s">
        <v>30</v>
      </c>
      <c r="N25" t="s">
        <v>31</v>
      </c>
    </row>
    <row r="26" spans="1:19" x14ac:dyDescent="0.25">
      <c r="A26">
        <v>25</v>
      </c>
      <c r="B26" s="5">
        <v>46043</v>
      </c>
      <c r="C26" t="s">
        <v>39</v>
      </c>
      <c r="D26" t="s">
        <v>111</v>
      </c>
      <c r="E26" t="s">
        <v>41</v>
      </c>
      <c r="F26" t="s">
        <v>24</v>
      </c>
      <c r="G26" t="s">
        <v>42</v>
      </c>
      <c r="H26" t="s">
        <v>51</v>
      </c>
      <c r="I26" t="s">
        <v>52</v>
      </c>
      <c r="K26" t="s">
        <v>113</v>
      </c>
      <c r="L26" t="s">
        <v>95</v>
      </c>
      <c r="M26" t="s">
        <v>30</v>
      </c>
      <c r="N26" t="s">
        <v>31</v>
      </c>
    </row>
    <row r="27" spans="1:19" x14ac:dyDescent="0.25">
      <c r="A27">
        <v>26</v>
      </c>
      <c r="B27" s="5">
        <v>46043</v>
      </c>
      <c r="C27" t="s">
        <v>114</v>
      </c>
      <c r="D27" t="s">
        <v>22</v>
      </c>
      <c r="E27" t="s">
        <v>50</v>
      </c>
      <c r="F27" t="s">
        <v>24</v>
      </c>
      <c r="G27" t="s">
        <v>42</v>
      </c>
      <c r="H27" t="s">
        <v>26</v>
      </c>
      <c r="I27" t="s">
        <v>52</v>
      </c>
      <c r="K27" t="s">
        <v>115</v>
      </c>
      <c r="L27" t="s">
        <v>67</v>
      </c>
      <c r="M27" t="s">
        <v>30</v>
      </c>
      <c r="N27" t="s">
        <v>31</v>
      </c>
    </row>
    <row r="28" spans="1:19" x14ac:dyDescent="0.25">
      <c r="A28">
        <v>27</v>
      </c>
      <c r="B28" s="5">
        <v>46044</v>
      </c>
      <c r="C28" t="s">
        <v>56</v>
      </c>
      <c r="D28" t="s">
        <v>22</v>
      </c>
      <c r="E28" t="s">
        <v>57</v>
      </c>
      <c r="F28" t="s">
        <v>24</v>
      </c>
      <c r="G28" t="s">
        <v>42</v>
      </c>
      <c r="H28" t="s">
        <v>51</v>
      </c>
      <c r="I28" t="s">
        <v>52</v>
      </c>
      <c r="K28" t="s">
        <v>116</v>
      </c>
      <c r="L28" t="s">
        <v>95</v>
      </c>
      <c r="M28" t="s">
        <v>30</v>
      </c>
      <c r="N28" t="s">
        <v>59</v>
      </c>
    </row>
    <row r="29" spans="1:19" x14ac:dyDescent="0.25">
      <c r="A29">
        <v>28</v>
      </c>
      <c r="B29" s="5">
        <v>46044</v>
      </c>
      <c r="C29" t="s">
        <v>101</v>
      </c>
      <c r="D29" t="s">
        <v>22</v>
      </c>
      <c r="E29" t="s">
        <v>57</v>
      </c>
      <c r="F29" t="s">
        <v>24</v>
      </c>
      <c r="G29" t="s">
        <v>85</v>
      </c>
      <c r="H29" t="s">
        <v>26</v>
      </c>
      <c r="I29" t="s">
        <v>52</v>
      </c>
      <c r="K29" t="s">
        <v>117</v>
      </c>
      <c r="L29" t="s">
        <v>44</v>
      </c>
      <c r="M29" t="s">
        <v>30</v>
      </c>
      <c r="N29" t="s">
        <v>118</v>
      </c>
    </row>
    <row r="30" spans="1:19" x14ac:dyDescent="0.25">
      <c r="A30">
        <v>29</v>
      </c>
      <c r="B30" s="5">
        <v>46044</v>
      </c>
      <c r="C30" t="s">
        <v>119</v>
      </c>
      <c r="D30" t="s">
        <v>22</v>
      </c>
      <c r="E30" t="s">
        <v>23</v>
      </c>
      <c r="F30" t="s">
        <v>24</v>
      </c>
      <c r="G30" t="s">
        <v>25</v>
      </c>
      <c r="H30" t="s">
        <v>26</v>
      </c>
      <c r="I30" t="s">
        <v>27</v>
      </c>
      <c r="K30" t="s">
        <v>120</v>
      </c>
      <c r="L30" t="s">
        <v>47</v>
      </c>
      <c r="M30" t="s">
        <v>30</v>
      </c>
      <c r="N30" t="s">
        <v>31</v>
      </c>
    </row>
    <row r="31" spans="1:19" x14ac:dyDescent="0.25">
      <c r="A31">
        <v>30</v>
      </c>
      <c r="B31" s="5">
        <v>46045</v>
      </c>
      <c r="C31" t="s">
        <v>121</v>
      </c>
      <c r="D31" t="s">
        <v>22</v>
      </c>
      <c r="E31" t="s">
        <v>23</v>
      </c>
      <c r="F31" t="s">
        <v>24</v>
      </c>
      <c r="G31" t="s">
        <v>42</v>
      </c>
      <c r="H31" t="s">
        <v>26</v>
      </c>
      <c r="I31" t="s">
        <v>27</v>
      </c>
      <c r="K31" t="s">
        <v>122</v>
      </c>
      <c r="L31" t="s">
        <v>47</v>
      </c>
      <c r="M31" t="s">
        <v>30</v>
      </c>
      <c r="N31" t="s">
        <v>118</v>
      </c>
    </row>
    <row r="32" spans="1:19" x14ac:dyDescent="0.25">
      <c r="A32">
        <v>31</v>
      </c>
      <c r="B32" s="5">
        <v>46048</v>
      </c>
      <c r="C32" t="s">
        <v>123</v>
      </c>
      <c r="D32" t="s">
        <v>22</v>
      </c>
      <c r="E32" t="s">
        <v>93</v>
      </c>
      <c r="F32" t="s">
        <v>24</v>
      </c>
      <c r="G32" t="s">
        <v>106</v>
      </c>
      <c r="H32" t="s">
        <v>88</v>
      </c>
      <c r="I32" t="s">
        <v>52</v>
      </c>
      <c r="K32" t="s">
        <v>124</v>
      </c>
      <c r="L32" t="s">
        <v>95</v>
      </c>
      <c r="M32" t="s">
        <v>30</v>
      </c>
      <c r="N32" t="s">
        <v>125</v>
      </c>
    </row>
    <row r="33" spans="1:19" x14ac:dyDescent="0.25">
      <c r="A33">
        <v>32</v>
      </c>
      <c r="B33" s="5">
        <v>46048</v>
      </c>
      <c r="C33" t="s">
        <v>126</v>
      </c>
      <c r="D33" t="s">
        <v>40</v>
      </c>
      <c r="E33" t="s">
        <v>81</v>
      </c>
      <c r="F33" t="s">
        <v>34</v>
      </c>
      <c r="H33" t="s">
        <v>26</v>
      </c>
      <c r="I33" t="s">
        <v>27</v>
      </c>
      <c r="J33" t="s">
        <v>127</v>
      </c>
      <c r="K33" t="s">
        <v>128</v>
      </c>
      <c r="L33" t="s">
        <v>54</v>
      </c>
      <c r="M33" t="s">
        <v>30</v>
      </c>
      <c r="N33" t="s">
        <v>34</v>
      </c>
      <c r="O33" s="9">
        <v>0</v>
      </c>
      <c r="P33" s="10">
        <v>1</v>
      </c>
      <c r="Q33" s="5">
        <v>46051</v>
      </c>
      <c r="R33" t="s">
        <v>100</v>
      </c>
      <c r="S33" t="s">
        <v>27</v>
      </c>
    </row>
    <row r="34" spans="1:19" x14ac:dyDescent="0.25">
      <c r="A34">
        <v>33</v>
      </c>
      <c r="B34" s="5">
        <v>46048</v>
      </c>
      <c r="C34" t="s">
        <v>129</v>
      </c>
      <c r="D34" t="s">
        <v>22</v>
      </c>
      <c r="E34" t="s">
        <v>57</v>
      </c>
      <c r="F34" t="s">
        <v>24</v>
      </c>
      <c r="G34" t="s">
        <v>42</v>
      </c>
      <c r="H34" t="s">
        <v>88</v>
      </c>
      <c r="I34" t="s">
        <v>52</v>
      </c>
      <c r="K34" t="s">
        <v>130</v>
      </c>
      <c r="L34" t="s">
        <v>67</v>
      </c>
      <c r="M34" t="s">
        <v>30</v>
      </c>
      <c r="N34" t="s">
        <v>31</v>
      </c>
    </row>
    <row r="35" spans="1:19" x14ac:dyDescent="0.25">
      <c r="A35">
        <v>34</v>
      </c>
      <c r="B35" s="5">
        <v>46048</v>
      </c>
      <c r="C35" t="s">
        <v>56</v>
      </c>
      <c r="D35" t="s">
        <v>22</v>
      </c>
      <c r="E35" t="s">
        <v>57</v>
      </c>
      <c r="F35" t="s">
        <v>24</v>
      </c>
      <c r="G35" t="s">
        <v>25</v>
      </c>
      <c r="H35" t="s">
        <v>51</v>
      </c>
      <c r="I35" t="s">
        <v>52</v>
      </c>
      <c r="K35" t="s">
        <v>108</v>
      </c>
      <c r="L35" t="s">
        <v>47</v>
      </c>
      <c r="M35" t="s">
        <v>30</v>
      </c>
      <c r="N35" t="s">
        <v>59</v>
      </c>
    </row>
    <row r="36" spans="1:19" x14ac:dyDescent="0.25">
      <c r="A36">
        <v>35</v>
      </c>
      <c r="B36" s="5">
        <v>46048</v>
      </c>
      <c r="C36" t="s">
        <v>56</v>
      </c>
      <c r="D36" t="s">
        <v>22</v>
      </c>
      <c r="E36" t="s">
        <v>57</v>
      </c>
      <c r="F36" t="s">
        <v>24</v>
      </c>
      <c r="G36" t="s">
        <v>25</v>
      </c>
      <c r="H36" t="s">
        <v>51</v>
      </c>
      <c r="I36" t="s">
        <v>52</v>
      </c>
      <c r="K36" t="s">
        <v>131</v>
      </c>
      <c r="L36" t="s">
        <v>44</v>
      </c>
      <c r="M36" t="s">
        <v>30</v>
      </c>
      <c r="N36" t="s">
        <v>59</v>
      </c>
    </row>
    <row r="37" spans="1:19" x14ac:dyDescent="0.25">
      <c r="A37">
        <v>36</v>
      </c>
      <c r="B37" s="5">
        <v>46048</v>
      </c>
      <c r="C37" t="s">
        <v>56</v>
      </c>
      <c r="D37" t="s">
        <v>22</v>
      </c>
      <c r="E37" t="s">
        <v>57</v>
      </c>
      <c r="F37" t="s">
        <v>24</v>
      </c>
      <c r="G37" t="s">
        <v>25</v>
      </c>
      <c r="H37" t="s">
        <v>51</v>
      </c>
      <c r="I37" t="s">
        <v>52</v>
      </c>
      <c r="K37" t="s">
        <v>132</v>
      </c>
      <c r="L37" t="s">
        <v>95</v>
      </c>
      <c r="M37" t="s">
        <v>30</v>
      </c>
      <c r="N37" t="s">
        <v>59</v>
      </c>
    </row>
    <row r="38" spans="1:19" x14ac:dyDescent="0.25">
      <c r="A38">
        <v>37</v>
      </c>
      <c r="B38" s="5">
        <v>46049</v>
      </c>
      <c r="C38" t="s">
        <v>39</v>
      </c>
      <c r="D38" t="s">
        <v>111</v>
      </c>
      <c r="E38" t="s">
        <v>41</v>
      </c>
      <c r="F38" t="s">
        <v>24</v>
      </c>
      <c r="G38" t="s">
        <v>133</v>
      </c>
      <c r="H38" t="s">
        <v>51</v>
      </c>
      <c r="I38" t="s">
        <v>52</v>
      </c>
      <c r="K38" t="s">
        <v>134</v>
      </c>
      <c r="L38" t="s">
        <v>54</v>
      </c>
      <c r="M38" t="s">
        <v>30</v>
      </c>
      <c r="N38" t="s">
        <v>31</v>
      </c>
    </row>
    <row r="39" spans="1:19" x14ac:dyDescent="0.25">
      <c r="A39">
        <v>38</v>
      </c>
      <c r="B39" s="5">
        <v>46049</v>
      </c>
      <c r="C39" t="s">
        <v>39</v>
      </c>
      <c r="D39" t="s">
        <v>111</v>
      </c>
      <c r="E39" t="s">
        <v>41</v>
      </c>
      <c r="F39" t="s">
        <v>34</v>
      </c>
      <c r="H39" t="s">
        <v>26</v>
      </c>
      <c r="I39" t="s">
        <v>27</v>
      </c>
      <c r="J39" t="s">
        <v>135</v>
      </c>
      <c r="K39" t="s">
        <v>136</v>
      </c>
      <c r="L39" t="s">
        <v>67</v>
      </c>
      <c r="M39" t="s">
        <v>30</v>
      </c>
      <c r="N39" t="s">
        <v>31</v>
      </c>
      <c r="O39" s="9">
        <v>94006.69</v>
      </c>
      <c r="P39" s="10">
        <v>2</v>
      </c>
      <c r="Q39" s="5">
        <v>46058</v>
      </c>
      <c r="R39" t="s">
        <v>38</v>
      </c>
      <c r="S39" t="s">
        <v>52</v>
      </c>
    </row>
    <row r="40" spans="1:19" x14ac:dyDescent="0.25">
      <c r="A40">
        <v>39</v>
      </c>
      <c r="B40" s="5">
        <v>46049</v>
      </c>
      <c r="C40" t="s">
        <v>137</v>
      </c>
      <c r="D40" t="s">
        <v>22</v>
      </c>
      <c r="E40" t="s">
        <v>81</v>
      </c>
      <c r="F40" t="s">
        <v>34</v>
      </c>
      <c r="H40" t="s">
        <v>88</v>
      </c>
      <c r="I40" t="s">
        <v>52</v>
      </c>
      <c r="J40" t="s">
        <v>138</v>
      </c>
      <c r="K40" t="s">
        <v>139</v>
      </c>
      <c r="L40" t="s">
        <v>54</v>
      </c>
      <c r="M40" t="s">
        <v>30</v>
      </c>
      <c r="N40" t="s">
        <v>31</v>
      </c>
      <c r="O40" s="9"/>
      <c r="R40" t="s">
        <v>140</v>
      </c>
    </row>
    <row r="41" spans="1:19" x14ac:dyDescent="0.25">
      <c r="A41">
        <v>40</v>
      </c>
      <c r="B41" s="5">
        <v>46050</v>
      </c>
      <c r="C41" t="s">
        <v>114</v>
      </c>
      <c r="D41" t="s">
        <v>22</v>
      </c>
      <c r="E41" t="s">
        <v>50</v>
      </c>
      <c r="F41" t="s">
        <v>24</v>
      </c>
      <c r="G41" t="s">
        <v>42</v>
      </c>
      <c r="H41" t="s">
        <v>26</v>
      </c>
      <c r="I41" t="s">
        <v>52</v>
      </c>
      <c r="K41" t="s">
        <v>141</v>
      </c>
      <c r="L41" t="s">
        <v>67</v>
      </c>
      <c r="M41" t="s">
        <v>30</v>
      </c>
      <c r="N41" t="s">
        <v>31</v>
      </c>
      <c r="O41" s="9"/>
    </row>
    <row r="42" spans="1:19" x14ac:dyDescent="0.25">
      <c r="A42">
        <v>41</v>
      </c>
      <c r="B42" s="5">
        <v>46050</v>
      </c>
      <c r="C42" t="s">
        <v>56</v>
      </c>
      <c r="D42" t="s">
        <v>22</v>
      </c>
      <c r="E42" t="s">
        <v>57</v>
      </c>
      <c r="F42" t="s">
        <v>24</v>
      </c>
      <c r="G42" t="s">
        <v>42</v>
      </c>
      <c r="H42" t="s">
        <v>51</v>
      </c>
      <c r="I42" t="s">
        <v>52</v>
      </c>
      <c r="K42" t="s">
        <v>142</v>
      </c>
      <c r="L42" t="s">
        <v>44</v>
      </c>
      <c r="M42" t="s">
        <v>30</v>
      </c>
      <c r="N42" t="s">
        <v>59</v>
      </c>
    </row>
    <row r="43" spans="1:19" x14ac:dyDescent="0.25">
      <c r="A43">
        <v>42</v>
      </c>
      <c r="B43" s="5">
        <v>46052</v>
      </c>
      <c r="C43" t="s">
        <v>143</v>
      </c>
      <c r="D43" t="s">
        <v>22</v>
      </c>
      <c r="E43" t="s">
        <v>81</v>
      </c>
      <c r="F43" t="s">
        <v>34</v>
      </c>
      <c r="H43" t="s">
        <v>88</v>
      </c>
      <c r="I43" t="s">
        <v>52</v>
      </c>
      <c r="J43" t="s">
        <v>144</v>
      </c>
      <c r="K43" t="s">
        <v>145</v>
      </c>
      <c r="L43" t="s">
        <v>54</v>
      </c>
      <c r="M43" t="s">
        <v>30</v>
      </c>
      <c r="N43" t="s">
        <v>31</v>
      </c>
      <c r="O43" s="9">
        <v>49969.06</v>
      </c>
      <c r="P43" s="10">
        <v>1</v>
      </c>
      <c r="Q43" s="5">
        <v>46058</v>
      </c>
      <c r="R43" t="s">
        <v>38</v>
      </c>
      <c r="S43" t="s">
        <v>52</v>
      </c>
    </row>
    <row r="44" spans="1:19" x14ac:dyDescent="0.25">
      <c r="A44">
        <v>43</v>
      </c>
      <c r="B44" s="5">
        <v>46056</v>
      </c>
      <c r="C44" t="s">
        <v>56</v>
      </c>
      <c r="D44" t="s">
        <v>22</v>
      </c>
      <c r="E44" t="s">
        <v>57</v>
      </c>
      <c r="F44" t="s">
        <v>24</v>
      </c>
      <c r="G44" t="s">
        <v>42</v>
      </c>
      <c r="H44" t="s">
        <v>51</v>
      </c>
      <c r="I44" t="s">
        <v>52</v>
      </c>
      <c r="K44" t="s">
        <v>146</v>
      </c>
      <c r="L44" t="s">
        <v>67</v>
      </c>
      <c r="M44" t="s">
        <v>30</v>
      </c>
      <c r="N44" t="s">
        <v>59</v>
      </c>
    </row>
    <row r="45" spans="1:19" x14ac:dyDescent="0.25">
      <c r="A45">
        <v>44</v>
      </c>
      <c r="B45" s="5">
        <v>46056</v>
      </c>
      <c r="C45" t="s">
        <v>56</v>
      </c>
      <c r="D45" t="s">
        <v>22</v>
      </c>
      <c r="E45" t="s">
        <v>57</v>
      </c>
      <c r="F45" t="s">
        <v>24</v>
      </c>
      <c r="G45" t="s">
        <v>147</v>
      </c>
      <c r="H45" t="s">
        <v>51</v>
      </c>
      <c r="I45" t="s">
        <v>52</v>
      </c>
      <c r="K45" t="s">
        <v>148</v>
      </c>
      <c r="L45" t="s">
        <v>54</v>
      </c>
      <c r="M45" t="s">
        <v>30</v>
      </c>
      <c r="N45" t="s">
        <v>149</v>
      </c>
    </row>
    <row r="46" spans="1:19" x14ac:dyDescent="0.25">
      <c r="A46">
        <v>45</v>
      </c>
      <c r="B46" s="5">
        <v>46056</v>
      </c>
      <c r="C46" t="s">
        <v>56</v>
      </c>
      <c r="D46" t="s">
        <v>22</v>
      </c>
      <c r="E46" t="s">
        <v>57</v>
      </c>
      <c r="F46" t="s">
        <v>24</v>
      </c>
      <c r="G46" t="s">
        <v>42</v>
      </c>
      <c r="H46" t="s">
        <v>51</v>
      </c>
      <c r="I46" t="s">
        <v>52</v>
      </c>
      <c r="K46" t="s">
        <v>150</v>
      </c>
      <c r="L46" t="s">
        <v>151</v>
      </c>
      <c r="M46" t="s">
        <v>30</v>
      </c>
      <c r="N46" t="s">
        <v>59</v>
      </c>
    </row>
    <row r="47" spans="1:19" x14ac:dyDescent="0.25">
      <c r="A47">
        <v>46</v>
      </c>
      <c r="B47" s="5">
        <v>46058</v>
      </c>
      <c r="C47" t="s">
        <v>39</v>
      </c>
      <c r="D47" t="s">
        <v>111</v>
      </c>
      <c r="E47" t="s">
        <v>41</v>
      </c>
      <c r="F47" t="s">
        <v>24</v>
      </c>
      <c r="G47" t="s">
        <v>25</v>
      </c>
      <c r="H47" t="s">
        <v>51</v>
      </c>
      <c r="I47" t="s">
        <v>52</v>
      </c>
      <c r="K47" t="s">
        <v>152</v>
      </c>
      <c r="L47" t="s">
        <v>47</v>
      </c>
      <c r="M47" t="s">
        <v>30</v>
      </c>
      <c r="N47" t="s">
        <v>31</v>
      </c>
    </row>
    <row r="48" spans="1:19" x14ac:dyDescent="0.25">
      <c r="A48">
        <v>47</v>
      </c>
      <c r="B48" s="5">
        <v>46058</v>
      </c>
      <c r="C48" t="s">
        <v>153</v>
      </c>
      <c r="D48" t="s">
        <v>111</v>
      </c>
      <c r="E48" t="s">
        <v>78</v>
      </c>
      <c r="F48" t="s">
        <v>34</v>
      </c>
      <c r="H48" t="s">
        <v>26</v>
      </c>
      <c r="I48" t="s">
        <v>52</v>
      </c>
      <c r="J48" t="s">
        <v>154</v>
      </c>
      <c r="K48" t="s">
        <v>155</v>
      </c>
      <c r="L48" t="s">
        <v>47</v>
      </c>
      <c r="M48" t="s">
        <v>30</v>
      </c>
      <c r="N48" t="s">
        <v>31</v>
      </c>
      <c r="R48" t="s">
        <v>140</v>
      </c>
    </row>
    <row r="49" spans="1:19" x14ac:dyDescent="0.25">
      <c r="A49">
        <v>48</v>
      </c>
      <c r="B49" s="5">
        <v>46058</v>
      </c>
      <c r="C49" t="s">
        <v>156</v>
      </c>
      <c r="D49" t="s">
        <v>22</v>
      </c>
      <c r="E49" t="s">
        <v>23</v>
      </c>
      <c r="F49" t="s">
        <v>34</v>
      </c>
      <c r="H49" t="s">
        <v>26</v>
      </c>
      <c r="I49" t="s">
        <v>27</v>
      </c>
      <c r="J49" t="s">
        <v>157</v>
      </c>
      <c r="K49" t="s">
        <v>158</v>
      </c>
      <c r="L49" t="s">
        <v>47</v>
      </c>
      <c r="M49" t="s">
        <v>30</v>
      </c>
      <c r="N49" t="s">
        <v>31</v>
      </c>
      <c r="O49" s="9">
        <v>60756.28</v>
      </c>
      <c r="P49" s="10">
        <v>12</v>
      </c>
      <c r="Q49" s="5">
        <v>46058</v>
      </c>
      <c r="R49" t="s">
        <v>38</v>
      </c>
      <c r="S49" t="s">
        <v>52</v>
      </c>
    </row>
    <row r="50" spans="1:19" x14ac:dyDescent="0.25">
      <c r="A50">
        <v>49</v>
      </c>
      <c r="B50" s="5">
        <v>46058</v>
      </c>
      <c r="C50" t="s">
        <v>159</v>
      </c>
      <c r="D50" t="s">
        <v>22</v>
      </c>
      <c r="E50" t="s">
        <v>78</v>
      </c>
      <c r="F50" t="s">
        <v>34</v>
      </c>
      <c r="H50" t="s">
        <v>88</v>
      </c>
      <c r="I50" t="s">
        <v>52</v>
      </c>
      <c r="J50" t="s">
        <v>160</v>
      </c>
      <c r="K50" t="s">
        <v>161</v>
      </c>
      <c r="L50" t="s">
        <v>95</v>
      </c>
      <c r="M50" t="s">
        <v>30</v>
      </c>
      <c r="N50" t="s">
        <v>31</v>
      </c>
      <c r="R50" t="s">
        <v>140</v>
      </c>
    </row>
    <row r="51" spans="1:19" x14ac:dyDescent="0.25">
      <c r="A51">
        <v>50</v>
      </c>
      <c r="B51" s="5">
        <v>46059</v>
      </c>
      <c r="C51" t="s">
        <v>56</v>
      </c>
      <c r="D51" t="s">
        <v>22</v>
      </c>
      <c r="E51" t="s">
        <v>57</v>
      </c>
      <c r="F51" t="s">
        <v>24</v>
      </c>
      <c r="G51" t="s">
        <v>42</v>
      </c>
      <c r="H51" t="s">
        <v>51</v>
      </c>
      <c r="I51" t="s">
        <v>52</v>
      </c>
      <c r="K51" t="s">
        <v>162</v>
      </c>
      <c r="L51" t="s">
        <v>67</v>
      </c>
      <c r="M51" t="s">
        <v>30</v>
      </c>
      <c r="N51" t="s">
        <v>31</v>
      </c>
    </row>
    <row r="52" spans="1:19" x14ac:dyDescent="0.25">
      <c r="A52">
        <v>51</v>
      </c>
      <c r="B52" s="5">
        <v>46063</v>
      </c>
      <c r="C52" t="s">
        <v>56</v>
      </c>
      <c r="D52" t="s">
        <v>22</v>
      </c>
      <c r="E52" t="s">
        <v>57</v>
      </c>
      <c r="F52" t="s">
        <v>24</v>
      </c>
      <c r="G52" t="s">
        <v>42</v>
      </c>
      <c r="H52" t="s">
        <v>51</v>
      </c>
      <c r="I52" t="s">
        <v>52</v>
      </c>
      <c r="K52" t="s">
        <v>163</v>
      </c>
      <c r="L52" t="s">
        <v>76</v>
      </c>
      <c r="M52" t="s">
        <v>76</v>
      </c>
      <c r="N52" t="s">
        <v>55</v>
      </c>
    </row>
    <row r="53" spans="1:19" x14ac:dyDescent="0.25">
      <c r="A53">
        <v>52</v>
      </c>
      <c r="B53" s="5">
        <v>46062</v>
      </c>
      <c r="C53" t="s">
        <v>164</v>
      </c>
      <c r="D53" t="s">
        <v>22</v>
      </c>
      <c r="E53" t="s">
        <v>165</v>
      </c>
      <c r="F53" t="s">
        <v>24</v>
      </c>
      <c r="G53" t="s">
        <v>25</v>
      </c>
      <c r="H53" t="s">
        <v>26</v>
      </c>
      <c r="I53" t="s">
        <v>52</v>
      </c>
      <c r="K53" t="s">
        <v>166</v>
      </c>
      <c r="L53" t="s">
        <v>54</v>
      </c>
      <c r="M53" t="s">
        <v>30</v>
      </c>
      <c r="N53" t="s">
        <v>31</v>
      </c>
    </row>
  </sheetData>
  <sheetProtection formatCells="0"/>
  <conditionalFormatting sqref="G2:H37 H38:H493 G38:G77">
    <cfRule type="expression" dxfId="5" priority="2">
      <formula>F2="GO"</formula>
    </cfRule>
  </conditionalFormatting>
  <conditionalFormatting sqref="I2:I493">
    <cfRule type="expression" dxfId="4" priority="6">
      <formula>G2="GO"</formula>
    </cfRule>
  </conditionalFormatting>
  <conditionalFormatting sqref="J2:J77">
    <cfRule type="expression" dxfId="3" priority="4">
      <formula>G2="GO"</formula>
    </cfRule>
  </conditionalFormatting>
  <conditionalFormatting sqref="J2:J493 O2:U493">
    <cfRule type="expression" dxfId="2" priority="1">
      <formula>$F2="NO-GO"</formula>
    </cfRule>
  </conditionalFormatting>
  <dataValidations count="1">
    <dataValidation type="list" allowBlank="1" showInputMessage="1" showErrorMessage="1" sqref="C2:I494 L2:N494 R2:S494" xr:uid="{6C41D4A0-2EE0-4757-93F5-526A9D7EE939}">
      <formula1>#REF!</formula1>
    </dataValidation>
  </dataValidations>
  <pageMargins left="0.75" right="0.75" top="1" bottom="1" header="0.5" footer="0.5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NovaOportunidade">
                <anchor moveWithCells="1">
                  <from>
                    <xdr:col>0</xdr:col>
                    <xdr:colOff>400050</xdr:colOff>
                    <xdr:row>52</xdr:row>
                    <xdr:rowOff>47625</xdr:rowOff>
                  </from>
                  <to>
                    <xdr:col>1</xdr:col>
                    <xdr:colOff>819150</xdr:colOff>
                    <xdr:row>55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5BC47-BE53-49E7-8B09-10ED7273BB11}">
  <sheetPr codeName="Planilha2"/>
  <dimension ref="A1:E11"/>
  <sheetViews>
    <sheetView topLeftCell="B1" zoomScale="115" zoomScaleNormal="115" workbookViewId="0">
      <selection activeCell="D6" sqref="D6"/>
    </sheetView>
  </sheetViews>
  <sheetFormatPr defaultColWidth="55.42578125" defaultRowHeight="15" x14ac:dyDescent="0.25"/>
  <cols>
    <col min="1" max="1" width="28.7109375" bestFit="1" customWidth="1"/>
    <col min="3" max="3" width="26.5703125" bestFit="1" customWidth="1"/>
  </cols>
  <sheetData>
    <row r="1" spans="1:5" x14ac:dyDescent="0.25">
      <c r="A1" s="1" t="s">
        <v>169</v>
      </c>
      <c r="B1" s="1" t="s">
        <v>170</v>
      </c>
      <c r="C1" s="1" t="s">
        <v>171</v>
      </c>
      <c r="D1" s="1" t="s">
        <v>172</v>
      </c>
      <c r="E1" s="1" t="s">
        <v>168</v>
      </c>
    </row>
    <row r="2" spans="1:5" ht="45" x14ac:dyDescent="0.25">
      <c r="A2" s="3" t="s">
        <v>173</v>
      </c>
      <c r="B2" s="2" t="s">
        <v>174</v>
      </c>
      <c r="C2" s="2" t="s">
        <v>175</v>
      </c>
      <c r="D2" s="2" t="s">
        <v>176</v>
      </c>
      <c r="E2" s="2"/>
    </row>
    <row r="3" spans="1:5" ht="45" x14ac:dyDescent="0.25">
      <c r="A3" s="3" t="s">
        <v>177</v>
      </c>
      <c r="B3" s="2" t="s">
        <v>178</v>
      </c>
      <c r="C3" s="2" t="s">
        <v>175</v>
      </c>
      <c r="D3" s="2" t="s">
        <v>179</v>
      </c>
      <c r="E3" s="2"/>
    </row>
    <row r="4" spans="1:5" ht="45" x14ac:dyDescent="0.25">
      <c r="A4" s="3" t="s">
        <v>2</v>
      </c>
      <c r="B4" s="2" t="s">
        <v>180</v>
      </c>
      <c r="C4" s="2" t="s">
        <v>175</v>
      </c>
      <c r="D4" s="2" t="s">
        <v>181</v>
      </c>
      <c r="E4" s="2" t="s">
        <v>182</v>
      </c>
    </row>
    <row r="5" spans="1:5" ht="45" x14ac:dyDescent="0.25">
      <c r="A5" s="3" t="s">
        <v>183</v>
      </c>
      <c r="B5" s="2" t="s">
        <v>184</v>
      </c>
      <c r="C5" s="2" t="s">
        <v>175</v>
      </c>
      <c r="D5" s="2" t="s">
        <v>185</v>
      </c>
      <c r="E5" s="2" t="s">
        <v>186</v>
      </c>
    </row>
    <row r="6" spans="1:5" ht="60" x14ac:dyDescent="0.25">
      <c r="A6" s="3" t="s">
        <v>187</v>
      </c>
      <c r="B6" s="2" t="s">
        <v>188</v>
      </c>
      <c r="C6" s="2" t="s">
        <v>175</v>
      </c>
      <c r="D6" s="2" t="s">
        <v>189</v>
      </c>
      <c r="E6" s="2" t="s">
        <v>186</v>
      </c>
    </row>
    <row r="7" spans="1:5" ht="45" x14ac:dyDescent="0.25">
      <c r="A7" s="3" t="s">
        <v>190</v>
      </c>
      <c r="B7" s="2" t="s">
        <v>191</v>
      </c>
      <c r="C7" s="2" t="s">
        <v>175</v>
      </c>
      <c r="D7" s="2" t="s">
        <v>192</v>
      </c>
      <c r="E7" s="2" t="s">
        <v>186</v>
      </c>
    </row>
    <row r="8" spans="1:5" ht="30" x14ac:dyDescent="0.25">
      <c r="A8" s="3" t="s">
        <v>193</v>
      </c>
      <c r="B8" s="2" t="s">
        <v>194</v>
      </c>
      <c r="C8" s="2" t="s">
        <v>175</v>
      </c>
      <c r="D8" s="2" t="s">
        <v>195</v>
      </c>
      <c r="E8" s="2" t="s">
        <v>186</v>
      </c>
    </row>
    <row r="9" spans="1:5" ht="45" x14ac:dyDescent="0.25">
      <c r="A9" s="3" t="s">
        <v>196</v>
      </c>
      <c r="B9" s="2" t="s">
        <v>197</v>
      </c>
      <c r="C9" s="2" t="s">
        <v>198</v>
      </c>
      <c r="D9" s="2" t="s">
        <v>199</v>
      </c>
      <c r="E9" s="2" t="s">
        <v>186</v>
      </c>
    </row>
    <row r="10" spans="1:5" ht="45" x14ac:dyDescent="0.25">
      <c r="A10" s="3" t="s">
        <v>167</v>
      </c>
      <c r="B10" s="2" t="s">
        <v>200</v>
      </c>
      <c r="C10" s="2" t="s">
        <v>175</v>
      </c>
      <c r="D10" s="2" t="s">
        <v>201</v>
      </c>
      <c r="E10" s="2" t="s">
        <v>186</v>
      </c>
    </row>
    <row r="11" spans="1:5" ht="30" x14ac:dyDescent="0.25">
      <c r="A11" s="3" t="s">
        <v>202</v>
      </c>
      <c r="B11" s="2" t="s">
        <v>203</v>
      </c>
      <c r="C11" s="2" t="s">
        <v>175</v>
      </c>
      <c r="D11" s="2" t="s">
        <v>204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FE5AEF749C784C96F92B6A6EC51936" ma:contentTypeVersion="159" ma:contentTypeDescription="Crie um novo documento." ma:contentTypeScope="" ma:versionID="356becf97f095b96d27d1cdfc9893b17">
  <xsd:schema xmlns:xsd="http://www.w3.org/2001/XMLSchema" xmlns:xs="http://www.w3.org/2001/XMLSchema" xmlns:p="http://schemas.microsoft.com/office/2006/metadata/properties" xmlns:ns2="fd015f02-8e49-4389-94a2-fb6f5091a1a9" xmlns:ns3="4555cf70-14db-48b7-87e0-b84cf8bd3c6f" targetNamespace="http://schemas.microsoft.com/office/2006/metadata/properties" ma:root="true" ma:fieldsID="8840bcdcd0cbe67b2098d9414e19eac3" ns2:_="" ns3:_="">
    <xsd:import namespace="fd015f02-8e49-4389-94a2-fb6f5091a1a9"/>
    <xsd:import namespace="4555cf70-14db-48b7-87e0-b84cf8bd3c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015f02-8e49-4389-94a2-fb6f5091a1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displayName="Marcações de imagem_0" ma:hidden="true" ma:internalName="lcf76f155ced4ddcb4097134ff3c332f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55cf70-14db-48b7-87e0-b84cf8bd3c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015f02-8e49-4389-94a2-fb6f5091a1a9" xsi:nil="true"/>
  </documentManagement>
</p:properties>
</file>

<file path=customXml/itemProps1.xml><?xml version="1.0" encoding="utf-8"?>
<ds:datastoreItem xmlns:ds="http://schemas.openxmlformats.org/officeDocument/2006/customXml" ds:itemID="{8CBE8E2C-C66D-40E8-AAC2-4D1DCA63CC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1251E5-9EF8-4750-B1CE-BD8B3A5BB4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015f02-8e49-4389-94a2-fb6f5091a1a9"/>
    <ds:schemaRef ds:uri="4555cf70-14db-48b7-87e0-b84cf8bd3c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4EE99D-A608-4852-8B3A-486B69CF8CB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E211DCA-AEA8-4D28-A39F-4FEF9C33B3D2}">
  <ds:schemaRefs>
    <ds:schemaRef ds:uri="http://schemas.microsoft.com/office/2006/metadata/properties"/>
    <ds:schemaRef ds:uri="http://schemas.microsoft.com/office/infopath/2007/PartnerControls"/>
    <ds:schemaRef ds:uri="fd015f02-8e49-4389-94a2-fb6f5091a1a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CRM</vt:lpstr>
      <vt:lpstr>Chave de 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Henrique Proshcholdt</cp:lastModifiedBy>
  <cp:revision/>
  <dcterms:created xsi:type="dcterms:W3CDTF">2026-01-06T15:59:57Z</dcterms:created>
  <dcterms:modified xsi:type="dcterms:W3CDTF">2026-03-05T15:00:42Z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0x01010049FE5AEF749C784C96F92B6A6EC51936</vt:lpwstr>
  </property>
</Properties>
</file>